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假设" sheetId="1" state="visible" r:id="rId1"/>
    <sheet xmlns:r="http://schemas.openxmlformats.org/officeDocument/2006/relationships" name="预测" sheetId="2" state="visible" r:id="rId2"/>
    <sheet xmlns:r="http://schemas.openxmlformats.org/officeDocument/2006/relationships" name="估值" sheetId="3" state="visible" r:id="rId3"/>
    <sheet xmlns:r="http://schemas.openxmlformats.org/officeDocument/2006/relationships" name="敏感性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历史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0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1F4E9E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70" customWidth="1" min="3" max="3"/>
  </cols>
  <sheetData>
    <row r="1">
      <c r="A1" s="1" t="inlineStr">
        <is>
          <t>美的集团 DCF 模型（单位：亿元；蓝色为输入假设）</t>
        </is>
      </c>
    </row>
    <row r="2">
      <c r="A2" s="2" t="inlineStr">
        <is>
          <t>项目</t>
        </is>
      </c>
      <c r="B2" s="2" t="inlineStr">
        <is>
          <t>数值</t>
        </is>
      </c>
      <c r="C2" s="2" t="inlineStr">
        <is>
          <t>依据</t>
        </is>
      </c>
    </row>
    <row r="3">
      <c r="A3" t="inlineStr">
        <is>
          <t>公司</t>
        </is>
      </c>
      <c r="B3" s="3" t="inlineStr">
        <is>
          <t>美的集团</t>
        </is>
      </c>
      <c r="C3" t="inlineStr"/>
    </row>
    <row r="4">
      <c r="A4" t="inlineStr">
        <is>
          <t>基期年份</t>
        </is>
      </c>
      <c r="B4" s="3" t="n">
        <v>2025</v>
      </c>
      <c r="C4" t="inlineStr"/>
    </row>
    <row r="5">
      <c r="A5" t="inlineStr">
        <is>
          <t>基期营业总收入</t>
        </is>
      </c>
      <c r="B5" s="4" t="n">
        <v>4585.02407</v>
      </c>
      <c r="C5" t="inlineStr"/>
    </row>
    <row r="6">
      <c r="A6" t="inlineStr">
        <is>
          <t>基期经营性营运资本</t>
        </is>
      </c>
      <c r="B6" s="4" t="n">
        <v>-146.72077024</v>
      </c>
      <c r="C6" t="inlineStr">
        <is>
          <t>基期营运资本按「营运资本/收入」假设标准化，避免单年科目重分类造成的跳变</t>
        </is>
      </c>
    </row>
    <row r="7">
      <c r="A7" t="inlineStr">
        <is>
          <t>有效税率</t>
        </is>
      </c>
      <c r="B7" s="5" t="n">
        <v>0.164</v>
      </c>
      <c r="C7" t="inlineStr">
        <is>
          <t>取近 3 年均值 16.4%（2023-2025：16.2%/17.0%/16.1%）</t>
        </is>
      </c>
    </row>
    <row r="8">
      <c r="A8" t="inlineStr">
        <is>
          <t>折旧摊销 / 收入</t>
        </is>
      </c>
      <c r="B8" s="5" t="n">
        <v>0.02</v>
      </c>
      <c r="C8" t="inlineStr">
        <is>
          <t>取近 3 年均值 2.0%，与 6 年区间 1.8%-2.0% 一致</t>
        </is>
      </c>
    </row>
    <row r="9">
      <c r="A9" t="inlineStr">
        <is>
          <t>资本开支 / 收入</t>
        </is>
      </c>
      <c r="B9" s="5" t="n">
        <v>0.02</v>
      </c>
      <c r="C9" t="inlineStr">
        <is>
          <t>取近 3 年均值 2.0%（2023-2025：1.7%/1.9%/2.4%）</t>
        </is>
      </c>
    </row>
    <row r="10">
      <c r="A10" t="inlineStr">
        <is>
          <t>经营性营运资本 / 收入</t>
        </is>
      </c>
      <c r="B10" s="5" t="n">
        <v>-0.032</v>
      </c>
      <c r="C10" t="inlineStr">
        <is>
          <t>营运资本比率波动大（-12.5% 至 +8.1%），按规则取近 3 年均值 -3.2%</t>
        </is>
      </c>
    </row>
    <row r="11">
      <c r="A11" t="inlineStr">
        <is>
          <t>WACC</t>
        </is>
      </c>
      <c r="B11" s="5" t="n">
        <v>0.0645</v>
      </c>
      <c r="C11" t="inlineStr">
        <is>
          <t>CAPM 参考 WACC 6.45%（rf 1.65%、Blume 调整 Beta 0.87、ERP 6%、税后债务成本 2.41%、股权权重 90.7%）</t>
        </is>
      </c>
    </row>
    <row r="12">
      <c r="A12" t="inlineStr">
        <is>
          <t>永续增长率</t>
        </is>
      </c>
      <c r="B12" s="5" t="n">
        <v>0.025</v>
      </c>
      <c r="C12" t="inlineStr">
        <is>
          <t>2.5%，低于 3% 上限，考虑家电行业成熟期名义增长</t>
        </is>
      </c>
    </row>
    <row r="13">
      <c r="A13" t="inlineStr">
        <is>
          <t>有息负债</t>
        </is>
      </c>
      <c r="B13" s="4" t="n">
        <v>674.80997</v>
      </c>
      <c r="C13" t="inlineStr"/>
    </row>
    <row r="14">
      <c r="A14" t="inlineStr">
        <is>
          <t>现金及交易性金融资产</t>
        </is>
      </c>
      <c r="B14" s="4" t="n">
        <v>859.57867</v>
      </c>
      <c r="C14" t="inlineStr"/>
    </row>
    <row r="15">
      <c r="A15" t="inlineStr">
        <is>
          <t>少数股东权益</t>
        </is>
      </c>
      <c r="B15" s="4" t="n">
        <v>132.02918</v>
      </c>
      <c r="C15" t="inlineStr"/>
    </row>
    <row r="16">
      <c r="A16" t="inlineStr">
        <is>
          <t>总股本（亿股）</t>
        </is>
      </c>
      <c r="B16" s="6" t="n">
        <v>75.97145</v>
      </c>
      <c r="C16" t="inlineStr"/>
    </row>
    <row r="17">
      <c r="A17" t="inlineStr">
        <is>
          <t>当前股价（元）</t>
        </is>
      </c>
      <c r="B17" s="6" t="n">
        <v>86.54000000000001</v>
      </c>
      <c r="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自由现金流预测（FCFF）</t>
        </is>
      </c>
    </row>
    <row r="2">
      <c r="A2" s="2" t="inlineStr">
        <is>
          <t>年份</t>
        </is>
      </c>
      <c r="B2" s="2" t="n">
        <v>2026</v>
      </c>
      <c r="C2" s="2" t="n">
        <v>2027</v>
      </c>
      <c r="D2" s="2" t="n">
        <v>2028</v>
      </c>
      <c r="E2" s="2" t="n">
        <v>2029</v>
      </c>
      <c r="F2" s="2" t="n">
        <v>2030</v>
      </c>
    </row>
    <row r="3">
      <c r="A3" s="7" t="inlineStr">
        <is>
          <t>期数 t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</row>
    <row r="4">
      <c r="A4" s="7" t="inlineStr">
        <is>
          <t>收入增速</t>
        </is>
      </c>
      <c r="B4" s="5" t="n">
        <v>0.07000000000000001</v>
      </c>
      <c r="C4" s="5" t="n">
        <v>0.06</v>
      </c>
      <c r="D4" s="5" t="n">
        <v>0.05</v>
      </c>
      <c r="E4" s="5" t="n">
        <v>0.045</v>
      </c>
      <c r="F4" s="5" t="n">
        <v>0.04</v>
      </c>
    </row>
    <row r="5">
      <c r="A5" s="7" t="inlineStr">
        <is>
          <t>EBIT 利润率</t>
        </is>
      </c>
      <c r="B5" s="5" t="n">
        <v>0.1</v>
      </c>
      <c r="C5" s="5" t="n">
        <v>0.1</v>
      </c>
      <c r="D5" s="5" t="n">
        <v>0.1</v>
      </c>
      <c r="E5" s="5" t="n">
        <v>0.1</v>
      </c>
      <c r="F5" s="5" t="n">
        <v>0.1</v>
      </c>
    </row>
    <row r="6">
      <c r="A6" s="7" t="inlineStr">
        <is>
          <t>营业总收入</t>
        </is>
      </c>
      <c r="B6" s="8">
        <f>假设!$B$5*(1+B4)</f>
        <v/>
      </c>
      <c r="C6" s="8">
        <f>B6*(1+C4)</f>
        <v/>
      </c>
      <c r="D6" s="8">
        <f>C6*(1+D4)</f>
        <v/>
      </c>
      <c r="E6" s="8">
        <f>D6*(1+E4)</f>
        <v/>
      </c>
      <c r="F6" s="8">
        <f>E6*(1+F4)</f>
        <v/>
      </c>
    </row>
    <row r="7">
      <c r="A7" s="7" t="inlineStr">
        <is>
          <t>EBIT</t>
        </is>
      </c>
      <c r="B7" s="8">
        <f>B6*B5</f>
        <v/>
      </c>
      <c r="C7" s="8">
        <f>C6*C5</f>
        <v/>
      </c>
      <c r="D7" s="8">
        <f>D6*D5</f>
        <v/>
      </c>
      <c r="E7" s="8">
        <f>E6*E5</f>
        <v/>
      </c>
      <c r="F7" s="8">
        <f>F6*F5</f>
        <v/>
      </c>
    </row>
    <row r="8">
      <c r="A8" s="7" t="inlineStr">
        <is>
          <t>NOPAT = EBIT×(1−税率)</t>
        </is>
      </c>
      <c r="B8" s="8">
        <f>B7*(1-假设!$B$7)</f>
        <v/>
      </c>
      <c r="C8" s="8">
        <f>C7*(1-假设!$B$7)</f>
        <v/>
      </c>
      <c r="D8" s="8">
        <f>D7*(1-假设!$B$7)</f>
        <v/>
      </c>
      <c r="E8" s="8">
        <f>E7*(1-假设!$B$7)</f>
        <v/>
      </c>
      <c r="F8" s="8">
        <f>F7*(1-假设!$B$7)</f>
        <v/>
      </c>
    </row>
    <row r="9">
      <c r="A9" s="7" t="inlineStr">
        <is>
          <t>折旧摊销</t>
        </is>
      </c>
      <c r="B9" s="8">
        <f>B6*假设!$B$8</f>
        <v/>
      </c>
      <c r="C9" s="8">
        <f>C6*假设!$B$8</f>
        <v/>
      </c>
      <c r="D9" s="8">
        <f>D6*假设!$B$8</f>
        <v/>
      </c>
      <c r="E9" s="8">
        <f>E6*假设!$B$8</f>
        <v/>
      </c>
      <c r="F9" s="8">
        <f>F6*假设!$B$8</f>
        <v/>
      </c>
    </row>
    <row r="10">
      <c r="A10" s="7" t="inlineStr">
        <is>
          <t>资本开支</t>
        </is>
      </c>
      <c r="B10" s="8">
        <f>B6*假设!$B$9</f>
        <v/>
      </c>
      <c r="C10" s="8">
        <f>C6*假设!$B$9</f>
        <v/>
      </c>
      <c r="D10" s="8">
        <f>D6*假设!$B$9</f>
        <v/>
      </c>
      <c r="E10" s="8">
        <f>E6*假设!$B$9</f>
        <v/>
      </c>
      <c r="F10" s="8">
        <f>F6*假设!$B$9</f>
        <v/>
      </c>
    </row>
    <row r="11">
      <c r="A11" s="7" t="inlineStr">
        <is>
          <t>经营性营运资本</t>
        </is>
      </c>
      <c r="B11" s="8">
        <f>B6*假设!$B$10</f>
        <v/>
      </c>
      <c r="C11" s="8">
        <f>C6*假设!$B$10</f>
        <v/>
      </c>
      <c r="D11" s="8">
        <f>D6*假设!$B$10</f>
        <v/>
      </c>
      <c r="E11" s="8">
        <f>E6*假设!$B$10</f>
        <v/>
      </c>
      <c r="F11" s="8">
        <f>F6*假设!$B$10</f>
        <v/>
      </c>
    </row>
    <row r="12">
      <c r="A12" s="7" t="inlineStr">
        <is>
          <t>营运资本变动 ΔNWC</t>
        </is>
      </c>
      <c r="B12" s="8">
        <f>B11-假设!$B$6</f>
        <v/>
      </c>
      <c r="C12" s="8">
        <f>C11-B11</f>
        <v/>
      </c>
      <c r="D12" s="8">
        <f>D11-C11</f>
        <v/>
      </c>
      <c r="E12" s="8">
        <f>E11-D11</f>
        <v/>
      </c>
      <c r="F12" s="8">
        <f>F11-E11</f>
        <v/>
      </c>
    </row>
    <row r="13">
      <c r="A13" s="9" t="inlineStr">
        <is>
          <t>FCFF</t>
        </is>
      </c>
      <c r="B13" s="8">
        <f>B8+B9-B10-B12</f>
        <v/>
      </c>
      <c r="C13" s="8">
        <f>C8+C9-C10-C12</f>
        <v/>
      </c>
      <c r="D13" s="8">
        <f>D8+D9-D10-D12</f>
        <v/>
      </c>
      <c r="E13" s="8">
        <f>E8+E9-E10-E12</f>
        <v/>
      </c>
      <c r="F13" s="8">
        <f>F8+F9-F10-F12</f>
        <v/>
      </c>
    </row>
    <row r="14">
      <c r="A14" s="7" t="inlineStr">
        <is>
          <t>折现因子</t>
        </is>
      </c>
      <c r="B14" s="10">
        <f>1/(1+假设!$B$11)^B3</f>
        <v/>
      </c>
      <c r="C14" s="10">
        <f>1/(1+假设!$B$11)^C3</f>
        <v/>
      </c>
      <c r="D14" s="10">
        <f>1/(1+假设!$B$11)^D3</f>
        <v/>
      </c>
      <c r="E14" s="10">
        <f>1/(1+假设!$B$11)^E3</f>
        <v/>
      </c>
      <c r="F14" s="10">
        <f>1/(1+假设!$B$11)^F3</f>
        <v/>
      </c>
    </row>
    <row r="15">
      <c r="A15" s="9" t="inlineStr">
        <is>
          <t>FCFF 现值</t>
        </is>
      </c>
      <c r="B15" s="8">
        <f>B13*B14</f>
        <v/>
      </c>
      <c r="C15" s="8">
        <f>C13*C14</f>
        <v/>
      </c>
      <c r="D15" s="8">
        <f>D13*D14</f>
        <v/>
      </c>
      <c r="E15" s="8">
        <f>E13*E14</f>
        <v/>
      </c>
      <c r="F15" s="8">
        <f>F13*F14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估值汇总</t>
        </is>
      </c>
    </row>
    <row r="3">
      <c r="A3" s="7" t="inlineStr">
        <is>
          <t>预测期 FCFF 现值合计</t>
        </is>
      </c>
      <c r="B3" s="8">
        <f>SUM(预测!B15:F15)</f>
        <v/>
      </c>
    </row>
    <row r="4">
      <c r="A4" s="7" t="inlineStr">
        <is>
          <t>终值（戈登增长）</t>
        </is>
      </c>
      <c r="B4" s="8">
        <f>预测!F13*(1+假设!B12)/(假设!B11-假设!B12)</f>
        <v/>
      </c>
    </row>
    <row r="5">
      <c r="A5" s="7" t="inlineStr">
        <is>
          <t>终值现值</t>
        </is>
      </c>
      <c r="B5" s="8">
        <f>B4/(1+假设!B11)^5</f>
        <v/>
      </c>
    </row>
    <row r="6">
      <c r="A6" s="9" t="inlineStr">
        <is>
          <t>企业价值 EV</t>
        </is>
      </c>
      <c r="B6" s="8">
        <f>B3+B5</f>
        <v/>
      </c>
    </row>
    <row r="7">
      <c r="A7" s="7" t="inlineStr">
        <is>
          <t>减：有息负债</t>
        </is>
      </c>
      <c r="B7" s="8">
        <f>假设!B13</f>
        <v/>
      </c>
    </row>
    <row r="8">
      <c r="A8" s="7" t="inlineStr">
        <is>
          <t>加：现金</t>
        </is>
      </c>
      <c r="B8" s="8">
        <f>假设!B14</f>
        <v/>
      </c>
    </row>
    <row r="9">
      <c r="A9" s="7" t="inlineStr">
        <is>
          <t>减：少数股东权益</t>
        </is>
      </c>
      <c r="B9" s="8">
        <f>假设!B15</f>
        <v/>
      </c>
    </row>
    <row r="10">
      <c r="A10" s="9" t="inlineStr">
        <is>
          <t>股权价值</t>
        </is>
      </c>
      <c r="B10" s="8">
        <f>B6-B7+B8-B9</f>
        <v/>
      </c>
    </row>
    <row r="11">
      <c r="A11" s="9" t="inlineStr">
        <is>
          <t>每股价值（元）</t>
        </is>
      </c>
      <c r="B11" s="11">
        <f>B10/假设!B16</f>
        <v/>
      </c>
    </row>
    <row r="12">
      <c r="A12" s="7" t="inlineStr">
        <is>
          <t>当前股价（元）</t>
        </is>
      </c>
      <c r="B12" s="11">
        <f>假设!B17</f>
        <v/>
      </c>
    </row>
    <row r="13">
      <c r="A13" s="7" t="inlineStr">
        <is>
          <t>相对现价</t>
        </is>
      </c>
      <c r="B13" s="12">
        <f>B11/B12-1</f>
        <v/>
      </c>
    </row>
    <row r="14">
      <c r="A14" s="7" t="inlineStr">
        <is>
          <t>终值占 EV 比重</t>
        </is>
      </c>
      <c r="B14" s="12">
        <f>B5/B6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每股价值敏感性（行：WACC，列：永续增长率）</t>
        </is>
      </c>
    </row>
    <row r="4">
      <c r="A4" t="inlineStr">
        <is>
          <t>WACC \ g</t>
        </is>
      </c>
      <c r="B4" s="5" t="n">
        <v>0.015</v>
      </c>
      <c r="C4" s="5" t="n">
        <v>0.02</v>
      </c>
      <c r="D4" s="5" t="n">
        <v>0.025</v>
      </c>
      <c r="E4" s="5" t="n">
        <v>0.03</v>
      </c>
      <c r="F4" s="5" t="n">
        <v>0.035</v>
      </c>
    </row>
    <row r="5">
      <c r="A5" s="5" t="n">
        <v>0.0545</v>
      </c>
      <c r="B5" s="11">
        <f>(SUMPRODUCT(预测!$B$13:$F$13/(1+$A5)^预测!$B$3:$F$3)+预测!$F$13*(1+B$4)/($A5-B$4)/(1+$A5)^5-假设!$B$13+假设!$B$14-假设!$B$15)/假设!$B$16</f>
        <v/>
      </c>
      <c r="C5" s="11">
        <f>(SUMPRODUCT(预测!$B$13:$F$13/(1+$A5)^预测!$B$3:$F$3)+预测!$F$13*(1+C$4)/($A5-C$4)/(1+$A5)^5-假设!$B$13+假设!$B$14-假设!$B$15)/假设!$B$16</f>
        <v/>
      </c>
      <c r="D5" s="11">
        <f>(SUMPRODUCT(预测!$B$13:$F$13/(1+$A5)^预测!$B$3:$F$3)+预测!$F$13*(1+D$4)/($A5-D$4)/(1+$A5)^5-假设!$B$13+假设!$B$14-假设!$B$15)/假设!$B$16</f>
        <v/>
      </c>
      <c r="E5" s="11">
        <f>(SUMPRODUCT(预测!$B$13:$F$13/(1+$A5)^预测!$B$3:$F$3)+预测!$F$13*(1+E$4)/($A5-E$4)/(1+$A5)^5-假设!$B$13+假设!$B$14-假设!$B$15)/假设!$B$16</f>
        <v/>
      </c>
      <c r="F5" s="11">
        <f>(SUMPRODUCT(预测!$B$13:$F$13/(1+$A5)^预测!$B$3:$F$3)+预测!$F$13*(1+F$4)/($A5-F$4)/(1+$A5)^5-假设!$B$13+假设!$B$14-假设!$B$15)/假设!$B$16</f>
        <v/>
      </c>
    </row>
    <row r="6">
      <c r="A6" s="5" t="n">
        <v>0.0595</v>
      </c>
      <c r="B6" s="11">
        <f>(SUMPRODUCT(预测!$B$13:$F$13/(1+$A6)^预测!$B$3:$F$3)+预测!$F$13*(1+B$4)/($A6-B$4)/(1+$A6)^5-假设!$B$13+假设!$B$14-假设!$B$15)/假设!$B$16</f>
        <v/>
      </c>
      <c r="C6" s="11">
        <f>(SUMPRODUCT(预测!$B$13:$F$13/(1+$A6)^预测!$B$3:$F$3)+预测!$F$13*(1+C$4)/($A6-C$4)/(1+$A6)^5-假设!$B$13+假设!$B$14-假设!$B$15)/假设!$B$16</f>
        <v/>
      </c>
      <c r="D6" s="11">
        <f>(SUMPRODUCT(预测!$B$13:$F$13/(1+$A6)^预测!$B$3:$F$3)+预测!$F$13*(1+D$4)/($A6-D$4)/(1+$A6)^5-假设!$B$13+假设!$B$14-假设!$B$15)/假设!$B$16</f>
        <v/>
      </c>
      <c r="E6" s="11">
        <f>(SUMPRODUCT(预测!$B$13:$F$13/(1+$A6)^预测!$B$3:$F$3)+预测!$F$13*(1+E$4)/($A6-E$4)/(1+$A6)^5-假设!$B$13+假设!$B$14-假设!$B$15)/假设!$B$16</f>
        <v/>
      </c>
      <c r="F6" s="11">
        <f>(SUMPRODUCT(预测!$B$13:$F$13/(1+$A6)^预测!$B$3:$F$3)+预测!$F$13*(1+F$4)/($A6-F$4)/(1+$A6)^5-假设!$B$13+假设!$B$14-假设!$B$15)/假设!$B$16</f>
        <v/>
      </c>
    </row>
    <row r="7">
      <c r="A7" s="5" t="n">
        <v>0.0645</v>
      </c>
      <c r="B7" s="11">
        <f>(SUMPRODUCT(预测!$B$13:$F$13/(1+$A7)^预测!$B$3:$F$3)+预测!$F$13*(1+B$4)/($A7-B$4)/(1+$A7)^5-假设!$B$13+假设!$B$14-假设!$B$15)/假设!$B$16</f>
        <v/>
      </c>
      <c r="C7" s="11">
        <f>(SUMPRODUCT(预测!$B$13:$F$13/(1+$A7)^预测!$B$3:$F$3)+预测!$F$13*(1+C$4)/($A7-C$4)/(1+$A7)^5-假设!$B$13+假设!$B$14-假设!$B$15)/假设!$B$16</f>
        <v/>
      </c>
      <c r="D7" s="11">
        <f>(SUMPRODUCT(预测!$B$13:$F$13/(1+$A7)^预测!$B$3:$F$3)+预测!$F$13*(1+D$4)/($A7-D$4)/(1+$A7)^5-假设!$B$13+假设!$B$14-假设!$B$15)/假设!$B$16</f>
        <v/>
      </c>
      <c r="E7" s="11">
        <f>(SUMPRODUCT(预测!$B$13:$F$13/(1+$A7)^预测!$B$3:$F$3)+预测!$F$13*(1+E$4)/($A7-E$4)/(1+$A7)^5-假设!$B$13+假设!$B$14-假设!$B$15)/假设!$B$16</f>
        <v/>
      </c>
      <c r="F7" s="11">
        <f>(SUMPRODUCT(预测!$B$13:$F$13/(1+$A7)^预测!$B$3:$F$3)+预测!$F$13*(1+F$4)/($A7-F$4)/(1+$A7)^5-假设!$B$13+假设!$B$14-假设!$B$15)/假设!$B$16</f>
        <v/>
      </c>
    </row>
    <row r="8">
      <c r="A8" s="5" t="n">
        <v>0.06950000000000001</v>
      </c>
      <c r="B8" s="11">
        <f>(SUMPRODUCT(预测!$B$13:$F$13/(1+$A8)^预测!$B$3:$F$3)+预测!$F$13*(1+B$4)/($A8-B$4)/(1+$A8)^5-假设!$B$13+假设!$B$14-假设!$B$15)/假设!$B$16</f>
        <v/>
      </c>
      <c r="C8" s="11">
        <f>(SUMPRODUCT(预测!$B$13:$F$13/(1+$A8)^预测!$B$3:$F$3)+预测!$F$13*(1+C$4)/($A8-C$4)/(1+$A8)^5-假设!$B$13+假设!$B$14-假设!$B$15)/假设!$B$16</f>
        <v/>
      </c>
      <c r="D8" s="11">
        <f>(SUMPRODUCT(预测!$B$13:$F$13/(1+$A8)^预测!$B$3:$F$3)+预测!$F$13*(1+D$4)/($A8-D$4)/(1+$A8)^5-假设!$B$13+假设!$B$14-假设!$B$15)/假设!$B$16</f>
        <v/>
      </c>
      <c r="E8" s="11">
        <f>(SUMPRODUCT(预测!$B$13:$F$13/(1+$A8)^预测!$B$3:$F$3)+预测!$F$13*(1+E$4)/($A8-E$4)/(1+$A8)^5-假设!$B$13+假设!$B$14-假设!$B$15)/假设!$B$16</f>
        <v/>
      </c>
      <c r="F8" s="11">
        <f>(SUMPRODUCT(预测!$B$13:$F$13/(1+$A8)^预测!$B$3:$F$3)+预测!$F$13*(1+F$4)/($A8-F$4)/(1+$A8)^5-假设!$B$13+假设!$B$14-假设!$B$15)/假设!$B$16</f>
        <v/>
      </c>
    </row>
    <row r="9">
      <c r="A9" s="5" t="n">
        <v>0.0745</v>
      </c>
      <c r="B9" s="11">
        <f>(SUMPRODUCT(预测!$B$13:$F$13/(1+$A9)^预测!$B$3:$F$3)+预测!$F$13*(1+B$4)/($A9-B$4)/(1+$A9)^5-假设!$B$13+假设!$B$14-假设!$B$15)/假设!$B$16</f>
        <v/>
      </c>
      <c r="C9" s="11">
        <f>(SUMPRODUCT(预测!$B$13:$F$13/(1+$A9)^预测!$B$3:$F$3)+预测!$F$13*(1+C$4)/($A9-C$4)/(1+$A9)^5-假设!$B$13+假设!$B$14-假设!$B$15)/假设!$B$16</f>
        <v/>
      </c>
      <c r="D9" s="11">
        <f>(SUMPRODUCT(预测!$B$13:$F$13/(1+$A9)^预测!$B$3:$F$3)+预测!$F$13*(1+D$4)/($A9-D$4)/(1+$A9)^5-假设!$B$13+假设!$B$14-假设!$B$15)/假设!$B$16</f>
        <v/>
      </c>
      <c r="E9" s="11">
        <f>(SUMPRODUCT(预测!$B$13:$F$13/(1+$A9)^预测!$B$3:$F$3)+预测!$F$13*(1+E$4)/($A9-E$4)/(1+$A9)^5-假设!$B$13+假设!$B$14-假设!$B$15)/假设!$B$16</f>
        <v/>
      </c>
      <c r="F9" s="11">
        <f>(SUMPRODUCT(预测!$B$13:$F$13/(1+$A9)^预测!$B$3:$F$3)+预测!$F$13*(1+F$4)/($A9-F$4)/(1+$A9)^5-假设!$B$13+假设!$B$14-假设!$B$15)/假设!$B$16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WACC 参考计算（CAPM）</t>
        </is>
      </c>
    </row>
    <row r="3">
      <c r="A3" t="inlineStr">
        <is>
          <t>无风险利率 rf</t>
        </is>
      </c>
      <c r="B3" s="5" t="n">
        <v>0.0165</v>
      </c>
    </row>
    <row r="4">
      <c r="A4" t="inlineStr">
        <is>
          <t>Beta（Blume 调整后）</t>
        </is>
      </c>
      <c r="B4" s="6" t="n">
        <v>0.87</v>
      </c>
    </row>
    <row r="5">
      <c r="A5" t="inlineStr">
        <is>
          <t>股权风险溢价 ERP</t>
        </is>
      </c>
      <c r="B5" s="5" t="n">
        <v>0.06</v>
      </c>
    </row>
    <row r="6">
      <c r="A6" t="inlineStr">
        <is>
          <t>税前债务成本</t>
        </is>
      </c>
      <c r="B6" s="5" t="n">
        <v>0.0288</v>
      </c>
    </row>
    <row r="7">
      <c r="A7" t="inlineStr">
        <is>
          <t>税率</t>
        </is>
      </c>
      <c r="B7" s="5" t="n">
        <v>0.164</v>
      </c>
    </row>
    <row r="8">
      <c r="A8" t="inlineStr">
        <is>
          <t>股权市值（亿元）</t>
        </is>
      </c>
      <c r="B8" s="4" t="n">
        <v>6574.6</v>
      </c>
    </row>
    <row r="9">
      <c r="A9" t="inlineStr">
        <is>
          <t>有息负债（亿元）</t>
        </is>
      </c>
      <c r="B9" s="4" t="n">
        <v>674.80997</v>
      </c>
    </row>
    <row r="10">
      <c r="A10" s="7" t="inlineStr">
        <is>
          <t>股权成本 = rf + β×ERP</t>
        </is>
      </c>
      <c r="B10" s="12">
        <f>B3+B4*B5</f>
        <v/>
      </c>
    </row>
    <row r="11">
      <c r="A11" s="7" t="inlineStr">
        <is>
          <t>税后债务成本</t>
        </is>
      </c>
      <c r="B11" s="12">
        <f>B6*(1-B7)</f>
        <v/>
      </c>
    </row>
    <row r="12">
      <c r="A12" s="7" t="inlineStr">
        <is>
          <t>股权权重</t>
        </is>
      </c>
      <c r="B12" s="12">
        <f>B8/(B8+B9)</f>
        <v/>
      </c>
    </row>
    <row r="13">
      <c r="A13" s="7" t="inlineStr">
        <is>
          <t>债务权重</t>
        </is>
      </c>
      <c r="B13" s="12">
        <f>B9/(B8+B9)</f>
        <v/>
      </c>
    </row>
    <row r="14">
      <c r="A14" s="9" t="inlineStr">
        <is>
          <t>WACC</t>
        </is>
      </c>
      <c r="B14" s="12">
        <f>B13*B10+B14*B11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历史财务（亿元，来源：akshare / 东方财富年报）</t>
        </is>
      </c>
    </row>
    <row r="2">
      <c r="A2" s="2" t="inlineStr">
        <is>
          <t>项目</t>
        </is>
      </c>
      <c r="B2" s="2" t="n">
        <v>2020</v>
      </c>
      <c r="C2" s="2" t="n">
        <v>2021</v>
      </c>
      <c r="D2" s="2" t="n">
        <v>2022</v>
      </c>
      <c r="E2" s="2" t="n">
        <v>2023</v>
      </c>
      <c r="F2" s="2" t="n">
        <v>2024</v>
      </c>
      <c r="G2" s="2" t="n">
        <v>2025</v>
      </c>
    </row>
    <row r="3">
      <c r="A3" t="inlineStr">
        <is>
          <t>营业总收入</t>
        </is>
      </c>
      <c r="B3" s="8" t="n">
        <v>2857.09729</v>
      </c>
      <c r="C3" s="8" t="n">
        <v>3433.60825</v>
      </c>
      <c r="D3" s="8" t="n">
        <v>3457.08706</v>
      </c>
      <c r="E3" s="8" t="n">
        <v>3737.09804</v>
      </c>
      <c r="F3" s="8" t="n">
        <v>4090.84266</v>
      </c>
      <c r="G3" s="8" t="n">
        <v>4585.02407</v>
      </c>
    </row>
    <row r="4">
      <c r="A4" t="inlineStr">
        <is>
          <t>收入增速</t>
        </is>
      </c>
      <c r="B4" s="12" t="n"/>
      <c r="C4" s="12" t="n">
        <v>0.2017820541210902</v>
      </c>
      <c r="D4" s="12" t="n">
        <v>0.006837940816340815</v>
      </c>
      <c r="E4" s="12" t="n">
        <v>0.08099621882244423</v>
      </c>
      <c r="F4" s="12" t="n">
        <v>0.09465757018245102</v>
      </c>
      <c r="G4" s="12" t="n">
        <v>0.1208018618833901</v>
      </c>
    </row>
    <row r="5">
      <c r="A5" t="inlineStr">
        <is>
          <t>毛利率</t>
        </is>
      </c>
      <c r="B5" s="12" t="n">
        <v>0.2359836895858733</v>
      </c>
      <c r="C5" s="12" t="n">
        <v>0.2234011669793722</v>
      </c>
      <c r="D5" s="12" t="n">
        <v>0.2411823264873174</v>
      </c>
      <c r="E5" s="12" t="n">
        <v>0.2558880579970014</v>
      </c>
      <c r="F5" s="12" t="n">
        <v>0.2629401175747004</v>
      </c>
      <c r="G5" s="12" t="n">
        <v>0.262729706891157</v>
      </c>
    </row>
    <row r="6">
      <c r="A6" t="inlineStr">
        <is>
          <t>EBIT</t>
        </is>
      </c>
      <c r="B6" s="8" t="n">
        <v>293.06102</v>
      </c>
      <c r="C6" s="8" t="n">
        <v>298.9345</v>
      </c>
      <c r="D6" s="8" t="n">
        <v>309.4913299999999</v>
      </c>
      <c r="E6" s="8" t="n">
        <v>361.33821</v>
      </c>
      <c r="F6" s="8" t="n">
        <v>419.42116</v>
      </c>
      <c r="G6" s="8" t="n">
        <v>468.5237299999999</v>
      </c>
    </row>
    <row r="7">
      <c r="A7" t="inlineStr">
        <is>
          <t>EBIT 利润率</t>
        </is>
      </c>
      <c r="B7" s="12" t="n">
        <v>0.102572992885377</v>
      </c>
      <c r="C7" s="12" t="n">
        <v>0.08706132972507856</v>
      </c>
      <c r="D7" s="12" t="n">
        <v>0.08952373042060444</v>
      </c>
      <c r="E7" s="12" t="n">
        <v>0.09668951847995939</v>
      </c>
      <c r="F7" s="12" t="n">
        <v>0.1025268373435805</v>
      </c>
      <c r="G7" s="12" t="n">
        <v>0.1021856642074291</v>
      </c>
    </row>
    <row r="8">
      <c r="A8" t="inlineStr">
        <is>
          <t>有效税率</t>
        </is>
      </c>
      <c r="B8" s="12" t="n">
        <v>0.1312865564395692</v>
      </c>
      <c r="C8" s="12" t="n">
        <v>0.1394576069953375</v>
      </c>
      <c r="D8" s="12" t="n">
        <v>0.1472053483570499</v>
      </c>
      <c r="E8" s="12" t="n">
        <v>0.1621715759871171</v>
      </c>
      <c r="F8" s="12" t="n">
        <v>0.1698988039043948</v>
      </c>
      <c r="G8" s="12" t="n">
        <v>0.1613467393438524</v>
      </c>
    </row>
    <row r="9">
      <c r="A9" t="inlineStr">
        <is>
          <t>归母净利润</t>
        </is>
      </c>
      <c r="B9" s="8" t="n">
        <v>272.22969</v>
      </c>
      <c r="C9" s="8" t="n">
        <v>285.7365</v>
      </c>
      <c r="D9" s="8" t="n">
        <v>295.53507</v>
      </c>
      <c r="E9" s="8" t="n">
        <v>337.19935</v>
      </c>
      <c r="F9" s="8" t="n">
        <v>385.37237</v>
      </c>
      <c r="G9" s="8" t="n">
        <v>439.45411</v>
      </c>
    </row>
    <row r="10">
      <c r="A10" t="inlineStr">
        <is>
          <t>ROE</t>
        </is>
      </c>
      <c r="B10" s="12" t="n">
        <v>0.2316527857506697</v>
      </c>
      <c r="C10" s="12" t="n">
        <v>0.228830618132775</v>
      </c>
      <c r="D10" s="12" t="n">
        <v>0.2067615224002569</v>
      </c>
      <c r="E10" s="12" t="n">
        <v>0.2070246700269356</v>
      </c>
      <c r="F10" s="12" t="n">
        <v>0.1777957410179597</v>
      </c>
      <c r="G10" s="12" t="n">
        <v>0.1968692504508026</v>
      </c>
    </row>
    <row r="11">
      <c r="A11" t="inlineStr">
        <is>
          <t>经营现金流</t>
        </is>
      </c>
      <c r="B11" s="8" t="n">
        <v>295.57117</v>
      </c>
      <c r="C11" s="8" t="n">
        <v>350.91704</v>
      </c>
      <c r="D11" s="8" t="n">
        <v>346.57828</v>
      </c>
      <c r="E11" s="8" t="n">
        <v>579.02611</v>
      </c>
      <c r="F11" s="8" t="n">
        <v>605.11572</v>
      </c>
      <c r="G11" s="8" t="n">
        <v>533.4593</v>
      </c>
    </row>
    <row r="12">
      <c r="A12" t="inlineStr">
        <is>
          <t>经营现金流 / 归母净利润</t>
        </is>
      </c>
      <c r="B12" s="12" t="n">
        <v>1.085741860118197</v>
      </c>
      <c r="C12" s="12" t="n">
        <v>1.228114154124517</v>
      </c>
      <c r="D12" s="12" t="n">
        <v>1.17271456142244</v>
      </c>
      <c r="E12" s="12" t="n">
        <v>1.71716259239527</v>
      </c>
      <c r="F12" s="12" t="n">
        <v>1.570210443473153</v>
      </c>
      <c r="G12" s="12" t="n">
        <v>1.213913552884964</v>
      </c>
    </row>
    <row r="13">
      <c r="A13" t="inlineStr">
        <is>
          <t>折旧摊销 / 收入</t>
        </is>
      </c>
      <c r="B13" s="12" t="n">
        <v>0.01757117623390416</v>
      </c>
      <c r="C13" s="12" t="n">
        <v>0.01800686493574216</v>
      </c>
      <c r="D13" s="12" t="n">
        <v>0.01882486581058216</v>
      </c>
      <c r="E13" s="12" t="n">
        <v>0.01966477978725974</v>
      </c>
      <c r="F13" s="12" t="n">
        <v>0.01912525279082721</v>
      </c>
      <c r="G13" s="12" t="n">
        <v>0.02037000211429642</v>
      </c>
    </row>
    <row r="14">
      <c r="A14" t="inlineStr">
        <is>
          <t>资本开支 / 收入</t>
        </is>
      </c>
      <c r="B14" s="12" t="n">
        <v>0.01629829693338864</v>
      </c>
      <c r="C14" s="12" t="n">
        <v>0.01987808888797957</v>
      </c>
      <c r="D14" s="12" t="n">
        <v>0.0212667915860933</v>
      </c>
      <c r="E14" s="12" t="n">
        <v>0.01689559902474488</v>
      </c>
      <c r="F14" s="12" t="n">
        <v>0.01916386586229645</v>
      </c>
      <c r="G14" s="12" t="n">
        <v>0.02430061179591583</v>
      </c>
    </row>
    <row r="15">
      <c r="A15" t="inlineStr">
        <is>
          <t>营运资本 / 收入</t>
        </is>
      </c>
      <c r="B15" s="12" t="n">
        <v>-0.1249210173028444</v>
      </c>
      <c r="C15" s="12" t="n">
        <v>-0.05071215098577422</v>
      </c>
      <c r="D15" s="12" t="n">
        <v>0.02491387648189572</v>
      </c>
      <c r="E15" s="12" t="n">
        <v>-0.08057666316937193</v>
      </c>
      <c r="F15" s="12" t="n">
        <v>-0.09638884278184388</v>
      </c>
      <c r="G15" s="12" t="n">
        <v>0.0808002323093584</v>
      </c>
    </row>
    <row r="16">
      <c r="A16" t="inlineStr">
        <is>
          <t>FCFF</t>
        </is>
      </c>
      <c r="B16" s="8" t="n"/>
      <c r="C16" s="8" t="n">
        <v>68.03491998165237</v>
      </c>
      <c r="D16" s="8" t="n">
        <v>-4.764499046136763</v>
      </c>
      <c r="E16" s="8" t="n">
        <v>700.3404530199361</v>
      </c>
      <c r="F16" s="8" t="n">
        <v>441.1927465838063</v>
      </c>
      <c r="G16" s="8" t="n">
        <v>-389.8755861407195</v>
      </c>
    </row>
    <row r="17">
      <c r="A17" t="inlineStr">
        <is>
          <t>现金</t>
        </is>
      </c>
      <c r="B17" s="8" t="n">
        <v>1094.50083</v>
      </c>
      <c r="C17" s="8" t="n">
        <v>777.54758</v>
      </c>
      <c r="D17" s="8" t="n">
        <v>585.54692</v>
      </c>
      <c r="E17" s="8" t="n">
        <v>834.6443400000001</v>
      </c>
      <c r="F17" s="8" t="n">
        <v>1473.46421</v>
      </c>
      <c r="G17" s="8" t="n">
        <v>859.57867</v>
      </c>
    </row>
    <row r="18">
      <c r="A18" t="inlineStr">
        <is>
          <t>有息负债</t>
        </is>
      </c>
      <c r="B18" s="8" t="n">
        <v>590.81397</v>
      </c>
      <c r="C18" s="8" t="n">
        <v>555.96735</v>
      </c>
      <c r="D18" s="8" t="n">
        <v>677.6715</v>
      </c>
      <c r="E18" s="8" t="n">
        <v>746.8090999999999</v>
      </c>
      <c r="F18" s="8" t="n">
        <v>862.55072</v>
      </c>
      <c r="G18" s="8" t="n">
        <v>674.80997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2026-10-19T16:24:18Z</dcterms:created>
  <dcterms:modified xmlns:dcterms="http://purl.org/dc/terms/" xmlns:xsi="http://www.w3.org/2001/XMLSchema-instance" xsi:type="dcterms:W3CDTF">2026-10-19T16:24:18Z</dcterms:modified>
</cp:coreProperties>
</file>