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" sheetId="1" state="visible" r:id="rId1"/>
    <sheet xmlns:r="http://schemas.openxmlformats.org/officeDocument/2006/relationships" name="估值" sheetId="2" state="visible" r:id="rId2"/>
    <sheet xmlns:r="http://schemas.openxmlformats.org/officeDocument/2006/relationships" name="DDM" sheetId="3" state="visible" r:id="rId3"/>
    <sheet xmlns:r="http://schemas.openxmlformats.org/officeDocument/2006/relationships" name="敏感性" sheetId="4" state="visible" r:id="rId4"/>
    <sheet xmlns:r="http://schemas.openxmlformats.org/officeDocument/2006/relationships" name="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F4E9E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0" customWidth="1" min="3" max="3"/>
  </cols>
  <sheetData>
    <row r="1">
      <c r="A1" s="1" t="inlineStr">
        <is>
          <t>招商银行 估值模型：PB-ROE 与 DDM（蓝色为输入假设）</t>
        </is>
      </c>
    </row>
    <row r="2">
      <c r="A2" s="2" t="inlineStr">
        <is>
          <t>项目</t>
        </is>
      </c>
      <c r="B2" s="2" t="inlineStr">
        <is>
          <t>数值</t>
        </is>
      </c>
      <c r="C2" s="2" t="inlineStr">
        <is>
          <t>依据</t>
        </is>
      </c>
    </row>
    <row r="3">
      <c r="A3" t="inlineStr">
        <is>
          <t>基期年份</t>
        </is>
      </c>
      <c r="B3" s="3" t="n">
        <v>2025</v>
      </c>
      <c r="C3" t="inlineStr"/>
    </row>
    <row r="4">
      <c r="A4" t="inlineStr">
        <is>
          <t>每股普通股净资产 BVPS（元）</t>
        </is>
      </c>
      <c r="B4" s="4" t="n">
        <v>43.43449643140365</v>
      </c>
      <c r="C4" t="inlineStr"/>
    </row>
    <row r="5">
      <c r="A5" t="inlineStr">
        <is>
          <t>基期每股收益 EPS（元）</t>
        </is>
      </c>
      <c r="B5" s="4" t="n">
        <v>5.954837430610627</v>
      </c>
      <c r="C5" t="inlineStr"/>
    </row>
    <row r="6">
      <c r="A6" t="inlineStr">
        <is>
          <t>长期可持续 ROE</t>
        </is>
      </c>
      <c r="B6" s="5" t="n">
        <v>0.145</v>
      </c>
      <c r="C6" t="inlineStr">
        <is>
          <t>近3年ROE均值15.28%（2023 16.75%、2024 15.05%、2025 14.03%），呈持续下行趋势，故在均值下方取14.5%作为长期锚定值</t>
        </is>
      </c>
    </row>
    <row r="7">
      <c r="A7" t="inlineStr">
        <is>
          <t>股权成本 Ke</t>
        </is>
      </c>
      <c r="B7" s="5" t="n">
        <v>0.1</v>
      </c>
      <c r="C7" t="inlineStr">
        <is>
          <t>CAPM：rf 1.65% + Beta 0.80 × ERP 6% = 6.45%</t>
        </is>
      </c>
    </row>
    <row r="8">
      <c r="A8" t="inlineStr">
        <is>
          <t>永续增长率 g</t>
        </is>
      </c>
      <c r="B8" s="5" t="n">
        <v>0.03</v>
      </c>
      <c r="C8" t="inlineStr">
        <is>
          <t>永续增长3%，为规则上限，且低于ROE与Ke</t>
        </is>
      </c>
    </row>
    <row r="9">
      <c r="A9" t="inlineStr">
        <is>
          <t>第一阶段 EPS 增速 g1</t>
        </is>
      </c>
      <c r="B9" s="5" t="n">
        <v>0.0288</v>
      </c>
      <c r="C9" t="inlineStr">
        <is>
          <t>第一阶段5年EPS增速锚定近3年归母净利润增速均值2.88%</t>
        </is>
      </c>
    </row>
    <row r="10">
      <c r="A10" t="inlineStr">
        <is>
          <t>第一阶段派息率</t>
        </is>
      </c>
      <c r="B10" s="5" t="n">
        <v>0.3323</v>
      </c>
      <c r="C10" t="inlineStr">
        <is>
          <t>派息率锚定近3年（2023-2025）均值33.23%</t>
        </is>
      </c>
    </row>
    <row r="11">
      <c r="A11" t="inlineStr">
        <is>
          <t>第一阶段年数</t>
        </is>
      </c>
      <c r="B11" s="3" t="n">
        <v>5</v>
      </c>
      <c r="C11" t="inlineStr"/>
    </row>
    <row r="12">
      <c r="A12" t="inlineStr">
        <is>
          <t>当前股价（元）</t>
        </is>
      </c>
      <c r="B12" s="4" t="n">
        <v>43.05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估值汇总</t>
        </is>
      </c>
    </row>
    <row r="3">
      <c r="A3" s="6" t="inlineStr">
        <is>
          <t>合理 P/B =（ROE − g）/（Ke − g）</t>
        </is>
      </c>
      <c r="B3" s="7">
        <f>(假设!B6-假设!B8)/(假设!B7-假设!B8)</f>
        <v/>
      </c>
    </row>
    <row r="4">
      <c r="A4" s="8" t="inlineStr">
        <is>
          <t>PB-ROE 每股价值（元）</t>
        </is>
      </c>
      <c r="B4" s="7">
        <f>B3*假设!B4</f>
        <v/>
      </c>
    </row>
    <row r="5">
      <c r="A5" s="8" t="inlineStr">
        <is>
          <t>DDM 每股价值（元）</t>
        </is>
      </c>
      <c r="B5" s="7">
        <f>DDM!B13</f>
        <v/>
      </c>
    </row>
    <row r="6">
      <c r="A6" s="6" t="inlineStr">
        <is>
          <t>两种方法平均（元）</t>
        </is>
      </c>
      <c r="B6" s="7">
        <f>AVERAGE(B4,B5)</f>
        <v/>
      </c>
    </row>
    <row r="7">
      <c r="A7" s="6" t="inlineStr">
        <is>
          <t>当前股价（元）</t>
        </is>
      </c>
      <c r="B7" s="7">
        <f>假设!B12</f>
        <v/>
      </c>
    </row>
    <row r="8">
      <c r="A8" s="6" t="inlineStr">
        <is>
          <t>当前 P/B</t>
        </is>
      </c>
      <c r="B8" s="7">
        <f>假设!B12/假设!B4</f>
        <v/>
      </c>
    </row>
    <row r="9">
      <c r="A9" s="6" t="inlineStr">
        <is>
          <t>平均值相对现价</t>
        </is>
      </c>
      <c r="B9" s="9">
        <f>B6/B7-1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两阶段股利贴现模型</t>
        </is>
      </c>
    </row>
    <row r="2">
      <c r="A2" s="2" t="inlineStr">
        <is>
          <t>期数 t</t>
        </is>
      </c>
      <c r="B2" s="2" t="inlineStr">
        <is>
          <t>EPS</t>
        </is>
      </c>
      <c r="C2" s="2" t="inlineStr">
        <is>
          <t>DPS</t>
        </is>
      </c>
      <c r="D2" s="2" t="inlineStr">
        <is>
          <t>现值</t>
        </is>
      </c>
    </row>
    <row r="3">
      <c r="A3" t="n">
        <v>1</v>
      </c>
      <c r="B3" s="7">
        <f>假设!$B$5*(1+假设!$B$9)^A3</f>
        <v/>
      </c>
      <c r="C3" s="7">
        <f>B3*假设!$B$10</f>
        <v/>
      </c>
      <c r="D3" s="7">
        <f>C3/(1+假设!$B$7)^A3</f>
        <v/>
      </c>
    </row>
    <row r="4">
      <c r="A4" t="n">
        <v>2</v>
      </c>
      <c r="B4" s="7">
        <f>假设!$B$5*(1+假设!$B$9)^A4</f>
        <v/>
      </c>
      <c r="C4" s="7">
        <f>B4*假设!$B$10</f>
        <v/>
      </c>
      <c r="D4" s="7">
        <f>C4/(1+假设!$B$7)^A4</f>
        <v/>
      </c>
    </row>
    <row r="5">
      <c r="A5" t="n">
        <v>3</v>
      </c>
      <c r="B5" s="7">
        <f>假设!$B$5*(1+假设!$B$9)^A5</f>
        <v/>
      </c>
      <c r="C5" s="7">
        <f>B5*假设!$B$10</f>
        <v/>
      </c>
      <c r="D5" s="7">
        <f>C5/(1+假设!$B$7)^A5</f>
        <v/>
      </c>
    </row>
    <row r="6">
      <c r="A6" t="n">
        <v>4</v>
      </c>
      <c r="B6" s="7">
        <f>假设!$B$5*(1+假设!$B$9)^A6</f>
        <v/>
      </c>
      <c r="C6" s="7">
        <f>B6*假设!$B$10</f>
        <v/>
      </c>
      <c r="D6" s="7">
        <f>C6/(1+假设!$B$7)^A6</f>
        <v/>
      </c>
    </row>
    <row r="7">
      <c r="A7" t="n">
        <v>5</v>
      </c>
      <c r="B7" s="7">
        <f>假设!$B$5*(1+假设!$B$9)^A7</f>
        <v/>
      </c>
      <c r="C7" s="7">
        <f>B7*假设!$B$10</f>
        <v/>
      </c>
      <c r="D7" s="7">
        <f>C7/(1+假设!$B$7)^A7</f>
        <v/>
      </c>
    </row>
    <row r="9">
      <c r="A9" t="inlineStr">
        <is>
          <t>第二阶段派息率 = 1 − g / ROE</t>
        </is>
      </c>
      <c r="B9" s="9">
        <f>1-假设!B8/假设!B6</f>
        <v/>
      </c>
    </row>
    <row r="10">
      <c r="A10" t="inlineStr">
        <is>
          <t>终值</t>
        </is>
      </c>
      <c r="B10" s="7">
        <f>B7*(1+假设!B8)*B9/(假设!B7-假设!B8)</f>
        <v/>
      </c>
    </row>
    <row r="11">
      <c r="A11" t="inlineStr">
        <is>
          <t>终值现值</t>
        </is>
      </c>
      <c r="B11" s="7">
        <f>B10/(1+假设!B7)^假设!B11</f>
        <v/>
      </c>
    </row>
    <row r="12">
      <c r="A12" t="inlineStr">
        <is>
          <t>第一阶段股利现值合计</t>
        </is>
      </c>
      <c r="B12" s="7">
        <f>SUM(D3:D7)</f>
        <v/>
      </c>
    </row>
    <row r="13">
      <c r="A13" s="8" t="inlineStr">
        <is>
          <t>DDM 每股价值（元）</t>
        </is>
      </c>
      <c r="B13" s="7">
        <f>B12+B11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PB-ROE 每股价值敏感性（行：Ke，列：g）</t>
        </is>
      </c>
    </row>
    <row r="4">
      <c r="A4" t="inlineStr">
        <is>
          <t>Ke \ g</t>
        </is>
      </c>
      <c r="B4" s="5" t="n">
        <v>0.02</v>
      </c>
      <c r="C4" s="5" t="n">
        <v>0.025</v>
      </c>
      <c r="D4" s="5" t="n">
        <v>0.03</v>
      </c>
      <c r="E4" s="5" t="n">
        <v>0.035</v>
      </c>
      <c r="F4" s="5" t="n">
        <v>0.04</v>
      </c>
    </row>
    <row r="5">
      <c r="A5" s="5" t="n">
        <v>0.09</v>
      </c>
      <c r="B5" s="7">
        <f>(假设!$B$6-B$4)/($A5-B$4)*假设!$B$4</f>
        <v/>
      </c>
      <c r="C5" s="7">
        <f>(假设!$B$6-C$4)/($A5-C$4)*假设!$B$4</f>
        <v/>
      </c>
      <c r="D5" s="7">
        <f>(假设!$B$6-D$4)/($A5-D$4)*假设!$B$4</f>
        <v/>
      </c>
      <c r="E5" s="7">
        <f>(假设!$B$6-E$4)/($A5-E$4)*假设!$B$4</f>
        <v/>
      </c>
      <c r="F5" s="7">
        <f>(假设!$B$6-F$4)/($A5-F$4)*假设!$B$4</f>
        <v/>
      </c>
    </row>
    <row r="6">
      <c r="A6" s="5" t="n">
        <v>0.095</v>
      </c>
      <c r="B6" s="7">
        <f>(假设!$B$6-B$4)/($A6-B$4)*假设!$B$4</f>
        <v/>
      </c>
      <c r="C6" s="7">
        <f>(假设!$B$6-C$4)/($A6-C$4)*假设!$B$4</f>
        <v/>
      </c>
      <c r="D6" s="7">
        <f>(假设!$B$6-D$4)/($A6-D$4)*假设!$B$4</f>
        <v/>
      </c>
      <c r="E6" s="7">
        <f>(假设!$B$6-E$4)/($A6-E$4)*假设!$B$4</f>
        <v/>
      </c>
      <c r="F6" s="7">
        <f>(假设!$B$6-F$4)/($A6-F$4)*假设!$B$4</f>
        <v/>
      </c>
    </row>
    <row r="7">
      <c r="A7" s="5" t="n">
        <v>0.1</v>
      </c>
      <c r="B7" s="7">
        <f>(假设!$B$6-B$4)/($A7-B$4)*假设!$B$4</f>
        <v/>
      </c>
      <c r="C7" s="7">
        <f>(假设!$B$6-C$4)/($A7-C$4)*假设!$B$4</f>
        <v/>
      </c>
      <c r="D7" s="7">
        <f>(假设!$B$6-D$4)/($A7-D$4)*假设!$B$4</f>
        <v/>
      </c>
      <c r="E7" s="7">
        <f>(假设!$B$6-E$4)/($A7-E$4)*假设!$B$4</f>
        <v/>
      </c>
      <c r="F7" s="7">
        <f>(假设!$B$6-F$4)/($A7-F$4)*假设!$B$4</f>
        <v/>
      </c>
    </row>
    <row r="8">
      <c r="A8" s="5" t="n">
        <v>0.105</v>
      </c>
      <c r="B8" s="7">
        <f>(假设!$B$6-B$4)/($A8-B$4)*假设!$B$4</f>
        <v/>
      </c>
      <c r="C8" s="7">
        <f>(假设!$B$6-C$4)/($A8-C$4)*假设!$B$4</f>
        <v/>
      </c>
      <c r="D8" s="7">
        <f>(假设!$B$6-D$4)/($A8-D$4)*假设!$B$4</f>
        <v/>
      </c>
      <c r="E8" s="7">
        <f>(假设!$B$6-E$4)/($A8-E$4)*假设!$B$4</f>
        <v/>
      </c>
      <c r="F8" s="7">
        <f>(假设!$B$6-F$4)/($A8-F$4)*假设!$B$4</f>
        <v/>
      </c>
    </row>
    <row r="9">
      <c r="A9" s="5" t="n">
        <v>0.11</v>
      </c>
      <c r="B9" s="7">
        <f>(假设!$B$6-B$4)/($A9-B$4)*假设!$B$4</f>
        <v/>
      </c>
      <c r="C9" s="7">
        <f>(假设!$B$6-C$4)/($A9-C$4)*假设!$B$4</f>
        <v/>
      </c>
      <c r="D9" s="7">
        <f>(假设!$B$6-D$4)/($A9-D$4)*假设!$B$4</f>
        <v/>
      </c>
      <c r="E9" s="7">
        <f>(假设!$B$6-E$4)/($A9-E$4)*假设!$B$4</f>
        <v/>
      </c>
      <c r="F9" s="7">
        <f>(假设!$B$6-F$4)/($A9-F$4)*假设!$B$4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历史指标（亿元；每股为元）</t>
        </is>
      </c>
    </row>
    <row r="2">
      <c r="A2" s="2" t="inlineStr">
        <is>
          <t>项目</t>
        </is>
      </c>
      <c r="B2" s="2" t="n">
        <v>2020</v>
      </c>
      <c r="C2" s="2" t="n">
        <v>2021</v>
      </c>
      <c r="D2" s="2" t="n">
        <v>2022</v>
      </c>
      <c r="E2" s="2" t="n">
        <v>2023</v>
      </c>
      <c r="F2" s="2" t="n">
        <v>2024</v>
      </c>
      <c r="G2" s="2" t="n">
        <v>2025</v>
      </c>
    </row>
    <row r="3">
      <c r="A3" t="inlineStr">
        <is>
          <t>归母净利润</t>
        </is>
      </c>
      <c r="B3" s="7" t="n">
        <v>973.42</v>
      </c>
      <c r="C3" s="7" t="n">
        <v>1199.22</v>
      </c>
      <c r="D3" s="7" t="n">
        <v>1380.12</v>
      </c>
      <c r="E3" s="7" t="n">
        <v>1466.02</v>
      </c>
      <c r="F3" s="7" t="n">
        <v>1483.91</v>
      </c>
      <c r="G3" s="7" t="n">
        <v>1501.81</v>
      </c>
    </row>
    <row r="4">
      <c r="A4" t="inlineStr">
        <is>
          <t>利润增速</t>
        </is>
      </c>
      <c r="B4" s="9" t="n"/>
      <c r="C4" s="9" t="n">
        <v>0.2319656468944546</v>
      </c>
      <c r="D4" s="9" t="n">
        <v>0.1508480512333015</v>
      </c>
      <c r="E4" s="9" t="n">
        <v>0.0622409645538069</v>
      </c>
      <c r="F4" s="9" t="n">
        <v>0.01220310773386446</v>
      </c>
      <c r="G4" s="9" t="n">
        <v>0.0120627261761157</v>
      </c>
    </row>
    <row r="5">
      <c r="A5" t="inlineStr">
        <is>
          <t>普通股净资产</t>
        </is>
      </c>
      <c r="B5" s="7" t="n">
        <v>6396.96</v>
      </c>
      <c r="C5" s="7" t="n">
        <v>7317.02</v>
      </c>
      <c r="D5" s="7" t="n">
        <v>8250.57</v>
      </c>
      <c r="E5" s="7" t="n">
        <v>9259.240000000002</v>
      </c>
      <c r="F5" s="7" t="n">
        <v>10455.68</v>
      </c>
      <c r="G5" s="7" t="n">
        <v>10954.18</v>
      </c>
    </row>
    <row r="6">
      <c r="A6" t="inlineStr">
        <is>
          <t>BVPS</t>
        </is>
      </c>
      <c r="B6" s="7" t="n">
        <v>25.36463124504362</v>
      </c>
      <c r="C6" s="7" t="n">
        <v>29.01276764472641</v>
      </c>
      <c r="D6" s="7" t="n">
        <v>32.71439333862014</v>
      </c>
      <c r="E6" s="7" t="n">
        <v>36.71387787470263</v>
      </c>
      <c r="F6" s="7" t="n">
        <v>41.4578905630452</v>
      </c>
      <c r="G6" s="7" t="n">
        <v>43.43449643140365</v>
      </c>
    </row>
    <row r="7">
      <c r="A7" t="inlineStr">
        <is>
          <t>EPS</t>
        </is>
      </c>
      <c r="B7" s="7" t="n">
        <v>3.859714512291832</v>
      </c>
      <c r="C7" s="7" t="n">
        <v>4.755035685963521</v>
      </c>
      <c r="D7" s="7" t="n">
        <v>5.472323552735924</v>
      </c>
      <c r="E7" s="7" t="n">
        <v>5.812926249008723</v>
      </c>
      <c r="F7" s="7" t="n">
        <v>5.883862014274386</v>
      </c>
      <c r="G7" s="7" t="n">
        <v>5.954837430610627</v>
      </c>
    </row>
    <row r="8">
      <c r="A8" t="inlineStr">
        <is>
          <t>ROE</t>
        </is>
      </c>
      <c r="B8" s="9" t="n"/>
      <c r="C8" s="9" t="n">
        <v>0.1748901485928957</v>
      </c>
      <c r="D8" s="9" t="n">
        <v>0.1773068278391196</v>
      </c>
      <c r="E8" s="9" t="n">
        <v>0.1674512744570044</v>
      </c>
      <c r="F8" s="9" t="n">
        <v>0.150536750846567</v>
      </c>
      <c r="G8" s="9" t="n">
        <v>0.140291435815087</v>
      </c>
    </row>
    <row r="9">
      <c r="A9" t="inlineStr">
        <is>
          <t>ROA</t>
        </is>
      </c>
      <c r="B9" s="9" t="n"/>
      <c r="C9" s="9" t="n">
        <v>0.0136193987792148</v>
      </c>
      <c r="D9" s="9" t="n">
        <v>0.01423689673365386</v>
      </c>
      <c r="E9" s="9" t="n">
        <v>0.01385168085161164</v>
      </c>
      <c r="F9" s="9" t="n">
        <v>0.01280307830898868</v>
      </c>
      <c r="G9" s="9" t="n">
        <v>0.01190846654377932</v>
      </c>
    </row>
    <row r="10">
      <c r="A10" t="inlineStr">
        <is>
          <t>净利息收入占比</t>
        </is>
      </c>
      <c r="B10" s="9" t="n">
        <v>0.6369792276285622</v>
      </c>
      <c r="C10" s="9" t="n">
        <v>0.6155989530660854</v>
      </c>
      <c r="D10" s="9" t="n">
        <v>0.6329633421601413</v>
      </c>
      <c r="E10" s="9" t="n">
        <v>0.6330122109087264</v>
      </c>
      <c r="F10" s="9" t="n">
        <v>0.6260281847058266</v>
      </c>
      <c r="G10" s="9" t="n">
        <v>0.6387335126743537</v>
      </c>
    </row>
    <row r="11">
      <c r="A11" t="inlineStr">
        <is>
          <t>信用成本</t>
        </is>
      </c>
      <c r="B11" s="9" t="n">
        <v>0.01350252406095212</v>
      </c>
      <c r="C11" s="9" t="n">
        <v>0.01236310515949065</v>
      </c>
      <c r="D11" s="9" t="n">
        <v>0.00977260117434461</v>
      </c>
      <c r="E11" s="9" t="n">
        <v>0.006601570027931687</v>
      </c>
      <c r="F11" s="9" t="n">
        <v>0.006027246240811224</v>
      </c>
      <c r="G11" s="9" t="n">
        <v>0.005651721143684723</v>
      </c>
    </row>
    <row r="12">
      <c r="A12" t="inlineStr">
        <is>
          <t>贷存比</t>
        </is>
      </c>
      <c r="B12" s="9" t="n">
        <v>0.8482073608768153</v>
      </c>
      <c r="C12" s="9" t="n">
        <v>0.8355931587554506</v>
      </c>
      <c r="D12" s="9" t="n">
        <v>0.7650475675175767</v>
      </c>
      <c r="E12" s="9" t="n">
        <v>0.7587836317659443</v>
      </c>
      <c r="F12" s="9" t="n">
        <v>0.7212953446255158</v>
      </c>
      <c r="G12" s="9" t="n">
        <v>0.7057481048526293</v>
      </c>
    </row>
    <row r="13">
      <c r="A13" t="inlineStr">
        <is>
          <t>权益乘数</t>
        </is>
      </c>
      <c r="B13" s="7" t="n">
        <v>13.07097121132538</v>
      </c>
      <c r="C13" s="7" t="n">
        <v>12.64042055372269</v>
      </c>
      <c r="D13" s="7" t="n">
        <v>12.28874126272488</v>
      </c>
      <c r="E13" s="7" t="n">
        <v>11.91078641443574</v>
      </c>
      <c r="F13" s="7" t="n">
        <v>11.6224253228867</v>
      </c>
      <c r="G13" s="7" t="n">
        <v>11.93199582259923</v>
      </c>
    </row>
    <row r="14">
      <c r="A14" t="inlineStr">
        <is>
          <t>当年派发每股股利</t>
        </is>
      </c>
      <c r="B14" s="7" t="n">
        <v>1.2</v>
      </c>
      <c r="C14" s="7" t="n">
        <v>1.253</v>
      </c>
      <c r="D14" s="7" t="n">
        <v>1.522</v>
      </c>
      <c r="E14" s="7" t="n">
        <v>1.738</v>
      </c>
      <c r="F14" s="7" t="n">
        <v>1.972</v>
      </c>
      <c r="G14" s="7" t="n">
        <v>2</v>
      </c>
    </row>
    <row r="15">
      <c r="A15" t="inlineStr">
        <is>
          <t>派息率（近似）</t>
        </is>
      </c>
      <c r="B15" s="9" t="n"/>
      <c r="C15" s="9" t="n">
        <v>0.3246354091758953</v>
      </c>
      <c r="D15" s="9" t="n">
        <v>0.3200817197845266</v>
      </c>
      <c r="E15" s="9" t="n">
        <v>0.3175981798684172</v>
      </c>
      <c r="F15" s="9" t="n">
        <v>0.3392439393732691</v>
      </c>
      <c r="G15" s="9" t="n">
        <v>0.3399127979459671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2026-10-19T17:40:13Z</dcterms:created>
  <dcterms:modified xmlns:dcterms="http://purl.org/dc/terms/" xmlns:xsi="http://www.w3.org/2001/XMLSchema-instance" xsi:type="dcterms:W3CDTF">2026-10-19T17:40:13Z</dcterms:modified>
</cp:coreProperties>
</file>